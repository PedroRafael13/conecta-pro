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cao de 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003366"/>
      <sz val="11"/>
    </font>
    <font>
      <name val="Arial"/>
      <b val="1"/>
      <sz val="10"/>
    </font>
    <font>
      <name val="Arial"/>
      <b val="1"/>
      <color rgb="00CC0000"/>
      <sz val="1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3" borderId="0" pivotButton="0" quotePrefix="0" xfId="0"/>
    <xf numFmtId="0" fontId="3" fillId="0" borderId="1" pivotButton="0" quotePrefix="0" xfId="0"/>
    <xf numFmtId="0" fontId="0" fillId="3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PLANILHA DE COMPOSICAO DE CUSTOS E FORMACAO DE PRECOS</t>
        </is>
      </c>
    </row>
    <row r="2">
      <c r="A2" s="2" t="inlineStr">
        <is>
          <t>Servicos de Vigilancia/Seguranca Patrimonial</t>
        </is>
      </c>
    </row>
    <row r="3">
      <c r="A3" s="3" t="inlineStr">
        <is>
          <t>Posto: {{tipo_posto}} - {{escala_posto}}</t>
        </is>
      </c>
    </row>
    <row r="5">
      <c r="A5" s="4" t="inlineStr">
        <is>
          <t>Item</t>
        </is>
      </c>
      <c r="B5" s="4" t="inlineStr">
        <is>
          <t>Descricao</t>
        </is>
      </c>
      <c r="C5" s="4" t="inlineStr">
        <is>
          <t>Valor (R$)</t>
        </is>
      </c>
      <c r="D5" s="4" t="inlineStr">
        <is>
          <t>% Base</t>
        </is>
      </c>
      <c r="E5" s="4" t="inlineStr">
        <is>
          <t>Subtotal (R$)</t>
        </is>
      </c>
    </row>
    <row r="7">
      <c r="A7" s="5" t="inlineStr">
        <is>
          <t>MODULO 1 - COMPOSICAO DA REMUNERACAO</t>
        </is>
      </c>
    </row>
    <row r="8">
      <c r="A8" s="6" t="inlineStr">
        <is>
          <t>1.1</t>
        </is>
      </c>
      <c r="B8" s="6" t="inlineStr">
        <is>
          <t>Salario Base</t>
        </is>
      </c>
      <c r="C8" s="6" t="inlineStr"/>
      <c r="D8" s="6" t="inlineStr"/>
      <c r="E8" s="6" t="inlineStr"/>
    </row>
    <row r="9">
      <c r="A9" s="6" t="inlineStr">
        <is>
          <t>1.2</t>
        </is>
      </c>
      <c r="B9" s="6" t="inlineStr">
        <is>
          <t>Adicional de Periculosidade (30%)</t>
        </is>
      </c>
      <c r="C9" s="6" t="inlineStr"/>
      <c r="D9" s="6" t="inlineStr">
        <is>
          <t>30.00%</t>
        </is>
      </c>
      <c r="E9" s="6">
        <f>C8*0.30</f>
        <v/>
      </c>
    </row>
    <row r="10">
      <c r="A10" s="6" t="inlineStr">
        <is>
          <t>1.3</t>
        </is>
      </c>
      <c r="B10" s="6" t="inlineStr">
        <is>
          <t>Adicional Noturno (20% - se aplicavel)</t>
        </is>
      </c>
      <c r="C10" s="6" t="inlineStr"/>
      <c r="D10" s="6" t="inlineStr">
        <is>
          <t>20.00%</t>
        </is>
      </c>
      <c r="E10" s="6" t="inlineStr"/>
    </row>
    <row r="11">
      <c r="A11" s="6" t="inlineStr">
        <is>
          <t>1.4</t>
        </is>
      </c>
      <c r="B11" s="6" t="inlineStr">
        <is>
          <t>Adicional de Hora Extra (intrajornada)</t>
        </is>
      </c>
      <c r="C11" s="6" t="inlineStr"/>
      <c r="D11" s="6" t="inlineStr"/>
      <c r="E11" s="6" t="inlineStr"/>
    </row>
    <row r="12">
      <c r="A12" s="6" t="inlineStr">
        <is>
          <t>1.5</t>
        </is>
      </c>
      <c r="B12" s="6" t="inlineStr">
        <is>
          <t>Outros (gratificacao, anuenio)</t>
        </is>
      </c>
      <c r="C12" s="6" t="inlineStr"/>
      <c r="D12" s="6" t="inlineStr"/>
      <c r="E12" s="6" t="inlineStr"/>
    </row>
    <row r="13">
      <c r="A13" s="7" t="n"/>
      <c r="B13" s="8" t="inlineStr">
        <is>
          <t>SUBTOTAL MODULO 1</t>
        </is>
      </c>
      <c r="C13" s="7" t="n"/>
      <c r="D13" s="7" t="n"/>
      <c r="E13" s="8">
        <f>SUM(E8:E12)</f>
        <v/>
      </c>
    </row>
    <row r="15">
      <c r="A15" s="5" t="inlineStr">
        <is>
          <t>MODULO 2 - ENCARGOS E BENEFICIOS ANUAIS, MENSAIS E DIARIOS</t>
        </is>
      </c>
    </row>
    <row r="16">
      <c r="A16" s="6" t="inlineStr">
        <is>
          <t>2.1</t>
        </is>
      </c>
      <c r="B16" s="6" t="inlineStr">
        <is>
          <t>INSS (20%)</t>
        </is>
      </c>
      <c r="C16" s="6" t="inlineStr"/>
      <c r="D16" s="6" t="inlineStr">
        <is>
          <t>20.00%</t>
        </is>
      </c>
      <c r="E16" s="6">
        <f>E13*0.20</f>
        <v/>
      </c>
    </row>
    <row r="17">
      <c r="A17" s="6" t="inlineStr">
        <is>
          <t>2.2</t>
        </is>
      </c>
      <c r="B17" s="6" t="inlineStr">
        <is>
          <t>SESI/SESC (1.5%)</t>
        </is>
      </c>
      <c r="C17" s="6" t="inlineStr"/>
      <c r="D17" s="6" t="inlineStr">
        <is>
          <t>1.50%</t>
        </is>
      </c>
      <c r="E17" s="6">
        <f>E13*0.015</f>
        <v/>
      </c>
    </row>
    <row r="18">
      <c r="A18" s="6" t="inlineStr">
        <is>
          <t>2.3</t>
        </is>
      </c>
      <c r="B18" s="6" t="inlineStr">
        <is>
          <t>SENAI/SENAC (1.0%)</t>
        </is>
      </c>
      <c r="C18" s="6" t="inlineStr"/>
      <c r="D18" s="6" t="inlineStr">
        <is>
          <t>1.00%</t>
        </is>
      </c>
      <c r="E18" s="6">
        <f>E13*0.01</f>
        <v/>
      </c>
    </row>
    <row r="19">
      <c r="A19" s="6" t="inlineStr">
        <is>
          <t>2.4</t>
        </is>
      </c>
      <c r="B19" s="6" t="inlineStr">
        <is>
          <t>INCRA (0.2%)</t>
        </is>
      </c>
      <c r="C19" s="6" t="inlineStr"/>
      <c r="D19" s="6" t="inlineStr">
        <is>
          <t>0.20%</t>
        </is>
      </c>
      <c r="E19" s="6">
        <f>E13*0.002</f>
        <v/>
      </c>
    </row>
    <row r="20">
      <c r="A20" s="6" t="inlineStr">
        <is>
          <t>2.5</t>
        </is>
      </c>
      <c r="B20" s="6" t="inlineStr">
        <is>
          <t>Salario Educacao (2.5%)</t>
        </is>
      </c>
      <c r="C20" s="6" t="inlineStr"/>
      <c r="D20" s="6" t="inlineStr">
        <is>
          <t>2.50%</t>
        </is>
      </c>
      <c r="E20" s="6">
        <f>E13*0.025</f>
        <v/>
      </c>
    </row>
    <row r="21">
      <c r="A21" s="6" t="inlineStr">
        <is>
          <t>2.6</t>
        </is>
      </c>
      <c r="B21" s="6" t="inlineStr">
        <is>
          <t>FGTS (8.0%)</t>
        </is>
      </c>
      <c r="C21" s="6" t="inlineStr"/>
      <c r="D21" s="6" t="inlineStr">
        <is>
          <t>8.00%</t>
        </is>
      </c>
      <c r="E21" s="6">
        <f>E13*0.08</f>
        <v/>
      </c>
    </row>
    <row r="22">
      <c r="A22" s="6" t="inlineStr">
        <is>
          <t>2.7</t>
        </is>
      </c>
      <c r="B22" s="6" t="inlineStr">
        <is>
          <t>Seguro Ac. Trabalho / SAT / RAT (3.0%)</t>
        </is>
      </c>
      <c r="C22" s="6" t="inlineStr"/>
      <c r="D22" s="6" t="inlineStr">
        <is>
          <t>3.00%</t>
        </is>
      </c>
      <c r="E22" s="6">
        <f>E13*0.03</f>
        <v/>
      </c>
    </row>
    <row r="23">
      <c r="A23" s="6" t="inlineStr">
        <is>
          <t>2.8</t>
        </is>
      </c>
      <c r="B23" s="6" t="inlineStr">
        <is>
          <t>SEBRAE (0.6%)</t>
        </is>
      </c>
      <c r="C23" s="6" t="inlineStr"/>
      <c r="D23" s="6" t="inlineStr">
        <is>
          <t>0.60%</t>
        </is>
      </c>
      <c r="E23" s="6">
        <f>E13*0.006</f>
        <v/>
      </c>
    </row>
    <row r="24">
      <c r="A24" s="6" t="inlineStr">
        <is>
          <t>2.9</t>
        </is>
      </c>
      <c r="B24" s="6" t="inlineStr">
        <is>
          <t>13o Salario</t>
        </is>
      </c>
      <c r="C24" s="6" t="inlineStr"/>
      <c r="D24" s="6" t="inlineStr">
        <is>
          <t>8.33%</t>
        </is>
      </c>
      <c r="E24" s="6">
        <f>E13*0.0833</f>
        <v/>
      </c>
    </row>
    <row r="25">
      <c r="A25" s="6" t="inlineStr">
        <is>
          <t>2.10</t>
        </is>
      </c>
      <c r="B25" s="6" t="inlineStr">
        <is>
          <t>Ferias + 1/3 Constitucional</t>
        </is>
      </c>
      <c r="C25" s="6" t="inlineStr"/>
      <c r="D25" s="6" t="inlineStr">
        <is>
          <t>11.11%</t>
        </is>
      </c>
      <c r="E25" s="6">
        <f>E13*0.1111</f>
        <v/>
      </c>
    </row>
    <row r="26">
      <c r="A26" s="7" t="n"/>
      <c r="B26" s="8" t="inlineStr">
        <is>
          <t>SUBTOTAL MODULO 2</t>
        </is>
      </c>
      <c r="C26" s="7" t="n"/>
      <c r="D26" s="7" t="n"/>
      <c r="E26" s="8">
        <f>SUM(E16:E25)</f>
        <v/>
      </c>
    </row>
    <row r="28">
      <c r="A28" s="5" t="inlineStr">
        <is>
          <t>MODULO 3 - PROVISAO PARA BENEFICIOS MENSAIS E DIARIOS</t>
        </is>
      </c>
    </row>
    <row r="29">
      <c r="A29" s="6" t="inlineStr">
        <is>
          <t>3.1</t>
        </is>
      </c>
      <c r="B29" s="6" t="inlineStr">
        <is>
          <t>Vale Transporte (6% desconto)</t>
        </is>
      </c>
      <c r="C29" s="6" t="inlineStr"/>
      <c r="D29" s="6" t="inlineStr"/>
      <c r="E29" s="6" t="inlineStr"/>
    </row>
    <row r="30">
      <c r="A30" s="6" t="inlineStr">
        <is>
          <t>3.2</t>
        </is>
      </c>
      <c r="B30" s="6" t="inlineStr">
        <is>
          <t>Vale Alimentacao/Refeicao</t>
        </is>
      </c>
      <c r="C30" s="6" t="inlineStr"/>
      <c r="D30" s="6" t="inlineStr"/>
      <c r="E30" s="6" t="inlineStr"/>
    </row>
    <row r="31">
      <c r="A31" s="6" t="inlineStr">
        <is>
          <t>3.3</t>
        </is>
      </c>
      <c r="B31" s="6" t="inlineStr">
        <is>
          <t>Assistencia Medica/Odontologica</t>
        </is>
      </c>
      <c r="C31" s="6" t="inlineStr"/>
      <c r="D31" s="6" t="inlineStr"/>
      <c r="E31" s="6" t="inlineStr"/>
    </row>
    <row r="32">
      <c r="A32" s="6" t="inlineStr">
        <is>
          <t>3.4</t>
        </is>
      </c>
      <c r="B32" s="6" t="inlineStr">
        <is>
          <t>Seguro de Vida em Grupo</t>
        </is>
      </c>
      <c r="C32" s="6" t="inlineStr"/>
      <c r="D32" s="6" t="inlineStr"/>
      <c r="E32" s="6" t="inlineStr"/>
    </row>
    <row r="33">
      <c r="A33" s="6" t="inlineStr">
        <is>
          <t>3.5</t>
        </is>
      </c>
      <c r="B33" s="6" t="inlineStr">
        <is>
          <t>Cesta Basica</t>
        </is>
      </c>
      <c r="C33" s="6" t="inlineStr"/>
      <c r="D33" s="6" t="inlineStr"/>
      <c r="E33" s="6" t="inlineStr"/>
    </row>
    <row r="34">
      <c r="A34" s="6" t="inlineStr">
        <is>
          <t>3.6</t>
        </is>
      </c>
      <c r="B34" s="6" t="inlineStr">
        <is>
          <t>Uniformes/EPIs</t>
        </is>
      </c>
      <c r="C34" s="6" t="inlineStr"/>
      <c r="D34" s="6" t="inlineStr"/>
      <c r="E34" s="6" t="inlineStr"/>
    </row>
    <row r="35">
      <c r="A35" s="7" t="n"/>
      <c r="B35" s="8" t="inlineStr">
        <is>
          <t>SUBTOTAL MODULO 3</t>
        </is>
      </c>
      <c r="C35" s="7" t="n"/>
      <c r="D35" s="7" t="n"/>
      <c r="E35" s="8">
        <f>SUM(E29:E34)</f>
        <v/>
      </c>
    </row>
    <row r="37">
      <c r="A37" s="5" t="inlineStr">
        <is>
          <t>MODULO 4 - CUSTOS INDIRETOS, TRIBUTOS E LUCRO</t>
        </is>
      </c>
    </row>
    <row r="38">
      <c r="A38" s="6" t="inlineStr">
        <is>
          <t>4.1</t>
        </is>
      </c>
      <c r="B38" s="6" t="inlineStr">
        <is>
          <t>Custos Indiretos (admin, supervisao)</t>
        </is>
      </c>
      <c r="C38" s="6" t="inlineStr"/>
      <c r="D38" s="6" t="inlineStr"/>
      <c r="E38" s="6" t="inlineStr"/>
    </row>
    <row r="39">
      <c r="A39" s="6" t="inlineStr">
        <is>
          <t>4.2</t>
        </is>
      </c>
      <c r="B39" s="6" t="inlineStr">
        <is>
          <t>Despesas Operacionais</t>
        </is>
      </c>
      <c r="C39" s="6" t="inlineStr"/>
      <c r="D39" s="6" t="inlineStr"/>
      <c r="E39" s="6" t="inlineStr"/>
    </row>
    <row r="40">
      <c r="A40" s="6" t="inlineStr">
        <is>
          <t>4.3</t>
        </is>
      </c>
      <c r="B40" s="6" t="inlineStr">
        <is>
          <t>Reserva Tecnica</t>
        </is>
      </c>
      <c r="C40" s="6" t="inlineStr"/>
      <c r="D40" s="6" t="inlineStr"/>
      <c r="E40" s="6" t="inlineStr"/>
    </row>
    <row r="41">
      <c r="A41" s="7" t="n"/>
      <c r="B41" s="8" t="inlineStr">
        <is>
          <t>SUBTOTAL MODULO 4</t>
        </is>
      </c>
      <c r="C41" s="7" t="n"/>
      <c r="D41" s="7" t="n"/>
      <c r="E41" s="8">
        <f>SUM(E38:E40)</f>
        <v/>
      </c>
    </row>
    <row r="43">
      <c r="A43" s="5" t="inlineStr">
        <is>
          <t>MODULO 5 - TRIBUTOS (BDI)</t>
        </is>
      </c>
    </row>
    <row r="44">
      <c r="A44" s="6" t="inlineStr">
        <is>
          <t>5.1</t>
        </is>
      </c>
      <c r="B44" s="6" t="inlineStr">
        <is>
          <t>PIS (0.65% ou 1.65%)</t>
        </is>
      </c>
      <c r="C44" s="6" t="inlineStr"/>
      <c r="D44" s="6" t="inlineStr"/>
      <c r="E44" s="6" t="inlineStr"/>
    </row>
    <row r="45">
      <c r="A45" s="6" t="inlineStr">
        <is>
          <t>5.2</t>
        </is>
      </c>
      <c r="B45" s="6" t="inlineStr">
        <is>
          <t>COFINS (3.00% ou 7.60%)</t>
        </is>
      </c>
      <c r="C45" s="6" t="inlineStr"/>
      <c r="D45" s="6" t="inlineStr"/>
      <c r="E45" s="6" t="inlineStr"/>
    </row>
    <row r="46">
      <c r="A46" s="6" t="inlineStr">
        <is>
          <t>5.3</t>
        </is>
      </c>
      <c r="B46" s="6" t="inlineStr">
        <is>
          <t>ISS (2.00% a 5.00%)</t>
        </is>
      </c>
      <c r="C46" s="6" t="inlineStr"/>
      <c r="D46" s="6" t="inlineStr"/>
      <c r="E46" s="6" t="inlineStr"/>
    </row>
    <row r="47">
      <c r="A47" s="6" t="inlineStr">
        <is>
          <t>5.4</t>
        </is>
      </c>
      <c r="B47" s="6" t="inlineStr">
        <is>
          <t>IRPJ</t>
        </is>
      </c>
      <c r="C47" s="6" t="inlineStr"/>
      <c r="D47" s="6" t="inlineStr"/>
      <c r="E47" s="6" t="inlineStr"/>
    </row>
    <row r="48">
      <c r="A48" s="6" t="inlineStr">
        <is>
          <t>5.5</t>
        </is>
      </c>
      <c r="B48" s="6" t="inlineStr">
        <is>
          <t>CSLL</t>
        </is>
      </c>
      <c r="C48" s="6" t="inlineStr"/>
      <c r="D48" s="6" t="inlineStr"/>
      <c r="E48" s="6" t="inlineStr"/>
    </row>
    <row r="49">
      <c r="A49" s="6" t="inlineStr">
        <is>
          <t>5.6</t>
        </is>
      </c>
      <c r="B49" s="6" t="inlineStr">
        <is>
          <t>Lucro</t>
        </is>
      </c>
      <c r="C49" s="6" t="inlineStr"/>
      <c r="D49" s="6" t="inlineStr"/>
      <c r="E49" s="6" t="inlineStr"/>
    </row>
    <row r="50">
      <c r="A50" s="7" t="n"/>
      <c r="B50" s="8" t="inlineStr">
        <is>
          <t>SUBTOTAL MODULO 5</t>
        </is>
      </c>
      <c r="C50" s="7" t="n"/>
      <c r="D50" s="7" t="n"/>
      <c r="E50" s="8">
        <f>SUM(E44:E49)</f>
        <v/>
      </c>
    </row>
    <row r="52">
      <c r="A52" s="9" t="inlineStr">
        <is>
          <t>VALOR TOTAL MENSAL POR POSTO</t>
        </is>
      </c>
      <c r="B52" s="10" t="n"/>
      <c r="C52" s="10" t="n"/>
      <c r="D52" s="10" t="n"/>
      <c r="E52" s="9">
        <f>E13+E26+E35+E41+E50</f>
        <v/>
      </c>
    </row>
  </sheetData>
  <mergeCells count="9">
    <mergeCell ref="A43:E43"/>
    <mergeCell ref="A2:E2"/>
    <mergeCell ref="A15:E15"/>
    <mergeCell ref="A7:E7"/>
    <mergeCell ref="A28:E28"/>
    <mergeCell ref="A52:D52"/>
    <mergeCell ref="A1:E1"/>
    <mergeCell ref="A37:E3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2026-03-12T17:27:37Z</dcterms:created>
  <dcterms:modified xmlns:dcterms="http://purl.org/dc/terms/" xmlns:xsi="http://www.w3.org/2001/XMLSchema-instance" xsi:type="dcterms:W3CDTF">2026-03-12T17:27:37Z</dcterms:modified>
</cp:coreProperties>
</file>